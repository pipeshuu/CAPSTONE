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/>
  <calcPr/>
  <extLst>
    <ext uri="GoogleSheetsCustomDataVersion2">
      <go:sheetsCustomData xmlns:go="http://customooxmlschemas.google.com/" r:id="rId8" roundtripDataChecksum="+++8MlDnsXXym0u+F0wY07H4LAFpK+iN8NA+EFfDgY4="/>
    </ext>
  </extLst>
</workbook>
</file>

<file path=xl/sharedStrings.xml><?xml version="1.0" encoding="utf-8"?>
<sst xmlns="http://schemas.openxmlformats.org/spreadsheetml/2006/main" count="144" uniqueCount="93">
  <si>
    <t xml:space="preserve">Plan de prueba proyecto </t>
  </si>
  <si>
    <t>Integrantes:
Felipe Elgueta, Sebastián Avello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</si>
  <si>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</si>
  <si>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</si>
  <si>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</si>
  <si>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</si>
  <si>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</si>
  <si>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</si>
  <si>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</si>
  <si>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</si>
  <si>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</si>
  <si>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</si>
  <si>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</si>
  <si>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MTC_010</t>
  </si>
  <si>
    <t>Ingreso al sistema</t>
  </si>
  <si>
    <t>Funcional</t>
  </si>
  <si>
    <t>Entrar al sistema.</t>
  </si>
  <si>
    <t>Ingreso al sistema.</t>
  </si>
  <si>
    <t>Login</t>
  </si>
  <si>
    <t>OK</t>
  </si>
  <si>
    <t>SI</t>
  </si>
  <si>
    <t>El usuario ingresa perfectamente</t>
  </si>
  <si>
    <t>Felipe Elgueta</t>
  </si>
  <si>
    <t>Baja</t>
  </si>
  <si>
    <t>MTC_020</t>
  </si>
  <si>
    <t>Registro de productos</t>
  </si>
  <si>
    <t>Sistema debe guardar el producto con todos los campos completos.</t>
  </si>
  <si>
    <t>Registra producto.</t>
  </si>
  <si>
    <t>Inventario</t>
  </si>
  <si>
    <t>Validación básica de flujo</t>
  </si>
  <si>
    <t>Sebastián Avello</t>
  </si>
  <si>
    <t>MTC_030</t>
  </si>
  <si>
    <t>Registro de producto con datos incompletos</t>
  </si>
  <si>
    <t>El sistema debe impedir el registro y mostrar mensaje de error.</t>
  </si>
  <si>
    <t>No dejo registrar producto</t>
  </si>
  <si>
    <t>Muestra mensaje de advertencia</t>
  </si>
  <si>
    <t>MTC_040</t>
  </si>
  <si>
    <t>Solicitud de pedido válida</t>
  </si>
  <si>
    <t>La solicitud debe generarse y aparecer en la lista.</t>
  </si>
  <si>
    <t>Se generó la solicitud</t>
  </si>
  <si>
    <t>Solicitudes de pedido</t>
  </si>
  <si>
    <t>Flujo principal de solicitud</t>
  </si>
  <si>
    <t>MTC_050</t>
  </si>
  <si>
    <t>Solicitud con producto inexistente</t>
  </si>
  <si>
    <t>El sistema debe impedir la solicitud y mostrar error.</t>
  </si>
  <si>
    <t>El sistema no deja generar la solicitud</t>
  </si>
  <si>
    <t>Error manejado correctamente</t>
  </si>
  <si>
    <t>MTC_060</t>
  </si>
  <si>
    <t>Visualización de dashboard por rol autorizado</t>
  </si>
  <si>
    <t>Usuario con rol debe acceder al dashboard.</t>
  </si>
  <si>
    <t>Se puede ver el dashboard</t>
  </si>
  <si>
    <t>Dashboard</t>
  </si>
  <si>
    <t>Solo aplica a usuarios con permiso</t>
  </si>
  <si>
    <t>MTC_070</t>
  </si>
  <si>
    <t>Visualización de dashboard por rol no autorizado</t>
  </si>
  <si>
    <t>Usuario sin permiso debe ser bloqueado.</t>
  </si>
  <si>
    <t>No muestra la pantalla</t>
  </si>
  <si>
    <t>Control de acceso funcional</t>
  </si>
  <si>
    <t>MTC_080</t>
  </si>
  <si>
    <t>Generación de reporte</t>
  </si>
  <si>
    <t>El sistema debe descargar el archivo con datos del reporte.</t>
  </si>
  <si>
    <t>Se descarga el reporte</t>
  </si>
  <si>
    <t>Reportes</t>
  </si>
  <si>
    <t>Archivo descargado correctamente</t>
  </si>
  <si>
    <t>MTC_090</t>
  </si>
  <si>
    <t>Alerta por stock crítico</t>
  </si>
  <si>
    <t>El sistema debe generar alerta automática cuando el stock baja del mínimo definido.</t>
  </si>
  <si>
    <t>Muestra alerta poco stock</t>
  </si>
  <si>
    <t>Alertas</t>
  </si>
  <si>
    <t>Basado en valores configurados en sistema</t>
  </si>
  <si>
    <t>Casos</t>
  </si>
  <si>
    <t>NOK</t>
  </si>
  <si>
    <t>No ejecutado</t>
  </si>
  <si>
    <t>Bloqueado</t>
  </si>
  <si>
    <t>Obsoleto</t>
  </si>
  <si>
    <t>Total de casos</t>
  </si>
  <si>
    <t>% de  avance</t>
  </si>
  <si>
    <t>Total casos que ejecuto cada integrante del equipo</t>
  </si>
  <si>
    <t>Nombre alumno 1</t>
  </si>
  <si>
    <t>Nombre alumno 2</t>
  </si>
  <si>
    <t>Nombre alumno 3</t>
  </si>
  <si>
    <t>Nombre alumno 4</t>
  </si>
  <si>
    <t>Total Casos</t>
  </si>
  <si>
    <t>No Funcional</t>
  </si>
  <si>
    <t>Media</t>
  </si>
  <si>
    <t>NO</t>
  </si>
  <si>
    <t>UAT</t>
  </si>
  <si>
    <t>Alta</t>
  </si>
  <si>
    <t>Código</t>
  </si>
  <si>
    <t>End to End</t>
  </si>
  <si>
    <t>Stress</t>
  </si>
  <si>
    <t>Rendimiento</t>
  </si>
  <si>
    <t>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</si>
</sst>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sz val="11.0"/>
      <color rgb="FF000000"/>
      <name val="Calibri"/>
    </font>
    <font>
      <sz val="11.0"/>
      <color rgb="FF000000"/>
      <name val="Inconsolata"/>
    </font>
    <font>
      <sz val="20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left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7" fillId="2" fontId="1" numFmtId="0" xfId="0" applyAlignment="1" applyBorder="1" applyFont="1">
      <alignment horizontal="left" readingOrder="0" shrinkToFit="0" vertical="top" wrapText="1"/>
    </xf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quotePrefix="1" borderId="13" fillId="3" fontId="1" numFmtId="0" xfId="0" applyAlignment="1" applyBorder="1" applyFill="1" applyFont="1">
      <alignment horizontal="center"/>
    </xf>
    <xf borderId="13" fillId="3" fontId="1" numFmtId="0" xfId="0" applyAlignment="1" applyBorder="1" applyFont="1">
      <alignment horizontal="center"/>
    </xf>
    <xf borderId="13" fillId="3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0" fillId="0" fontId="1" numFmtId="0" xfId="0" applyFont="1"/>
    <xf borderId="16" fillId="4" fontId="1" numFmtId="1" xfId="0" applyAlignment="1" applyBorder="1" applyFill="1" applyFont="1" applyNumberFormat="1">
      <alignment shrinkToFit="0" vertical="center" wrapText="1"/>
    </xf>
    <xf borderId="16" fillId="4" fontId="4" numFmtId="0" xfId="0" applyBorder="1" applyFont="1"/>
    <xf borderId="16" fillId="4" fontId="1" numFmtId="0" xfId="0" applyAlignment="1" applyBorder="1" applyFont="1">
      <alignment shrinkToFit="0" vertical="center" wrapText="1"/>
    </xf>
    <xf borderId="16" fillId="4" fontId="1" numFmtId="0" xfId="0" applyAlignment="1" applyBorder="1" applyFont="1">
      <alignment readingOrder="0" vertical="center"/>
    </xf>
    <xf borderId="16" fillId="4" fontId="1" numFmtId="0" xfId="0" applyAlignment="1" applyBorder="1" applyFont="1">
      <alignment readingOrder="0" shrinkToFit="0" vertical="center" wrapText="1"/>
    </xf>
    <xf borderId="16" fillId="4" fontId="1" numFmtId="0" xfId="0" applyAlignment="1" applyBorder="1" applyFont="1">
      <alignment readingOrder="0" shrinkToFit="0" vertical="top" wrapText="1"/>
    </xf>
    <xf borderId="17" fillId="4" fontId="1" numFmtId="0" xfId="0" applyAlignment="1" applyBorder="1" applyFont="1">
      <alignment shrinkToFit="0" vertical="center" wrapText="1"/>
    </xf>
    <xf borderId="16" fillId="3" fontId="1" numFmtId="0" xfId="0" applyBorder="1" applyFont="1"/>
    <xf borderId="1" fillId="3" fontId="1" numFmtId="0" xfId="0" applyBorder="1" applyFont="1"/>
    <xf borderId="0" fillId="4" fontId="4" numFmtId="0" xfId="0" applyAlignment="1" applyFont="1">
      <alignment horizontal="left" readingOrder="0"/>
    </xf>
    <xf borderId="17" fillId="4" fontId="1" numFmtId="0" xfId="0" applyAlignment="1" applyBorder="1" applyFont="1">
      <alignment readingOrder="0" shrinkToFit="0" vertical="center" wrapText="1"/>
    </xf>
    <xf borderId="16" fillId="4" fontId="4" numFmtId="0" xfId="0" applyAlignment="1" applyBorder="1" applyFont="1">
      <alignment readingOrder="0"/>
    </xf>
    <xf borderId="16" fillId="4" fontId="4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/>
    </xf>
    <xf borderId="1" fillId="3" fontId="5" numFmtId="0" xfId="0" applyBorder="1" applyFont="1"/>
    <xf borderId="14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vertical="center"/>
    </xf>
    <xf borderId="16" fillId="2" fontId="1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vertical="center"/>
    </xf>
    <xf borderId="21" fillId="0" fontId="3" numFmtId="0" xfId="0" applyBorder="1" applyFont="1"/>
    <xf borderId="15" fillId="2" fontId="6" numFmtId="164" xfId="0" applyAlignment="1" applyBorder="1" applyFont="1" applyNumberFormat="1">
      <alignment horizontal="center" vertical="center"/>
    </xf>
    <xf borderId="22" fillId="0" fontId="3" numFmtId="0" xfId="0" applyBorder="1" applyFont="1"/>
    <xf borderId="14" fillId="2" fontId="6" numFmtId="9" xfId="0" applyAlignment="1" applyBorder="1" applyFont="1" applyNumberForma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7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0" fillId="2" fontId="1" numFmtId="0" xfId="0" applyBorder="1" applyFont="1"/>
    <xf borderId="13" fillId="2" fontId="1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6" fillId="2" fontId="1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298668167"/>
        <c:axId val="1411628378"/>
      </c:barChart>
      <c:catAx>
        <c:axId val="2986681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1628378"/>
      </c:catAx>
      <c:valAx>
        <c:axId val="14116283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8668167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Control!$E$36:$E$39</c:f>
            </c:strRef>
          </c:cat>
          <c:val>
            <c:numRef>
              <c:f>Control!$F$36:$F$39</c:f>
              <c:numCache/>
            </c:numRef>
          </c:val>
        </c:ser>
        <c:ser>
          <c:idx val="1"/>
          <c:order val="1"/>
          <c:cat>
            <c:strRef>
              <c:f>Control!$E$36:$E$39</c:f>
            </c:strRef>
          </c:cat>
          <c:val>
            <c:numRef>
              <c:f>Control!$G$36:$G$39</c:f>
              <c:numCache/>
            </c:numRef>
          </c:val>
        </c:ser>
        <c:axId val="1446507142"/>
        <c:axId val="1606229280"/>
      </c:barChart>
      <c:catAx>
        <c:axId val="1446507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06229280"/>
      </c:catAx>
      <c:valAx>
        <c:axId val="1606229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650714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</xdr:row>
      <xdr:rowOff>28575</xdr:rowOff>
    </xdr:from>
    <xdr:ext cx="4314825" cy="2714625"/>
    <xdr:graphicFrame>
      <xdr:nvGraphicFramePr>
        <xdr:cNvPr id="141024630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62602984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8" width="9.43"/>
    <col customWidth="1" min="9" max="9" width="12.86"/>
    <col customWidth="1" min="10" max="10" width="9.43"/>
    <col customWidth="1" min="11" max="12" width="3.29"/>
    <col customWidth="1" min="13" max="25" width="10.71"/>
  </cols>
  <sheetData>
    <row r="1" ht="14.25" customHeight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8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/>
      <c r="C7" s="5"/>
      <c r="D7" s="1"/>
      <c r="E7" s="9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5"/>
      <c r="D8" s="1"/>
      <c r="E8" s="9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"/>
      <c r="C9" s="5"/>
      <c r="D9" s="1"/>
      <c r="E9" s="9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5"/>
      <c r="D10" s="1"/>
      <c r="E10" s="9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5"/>
      <c r="C35" s="5"/>
      <c r="D35" s="1"/>
      <c r="E35" s="10" t="s">
        <v>1</v>
      </c>
      <c r="F35" s="8"/>
      <c r="G35" s="8"/>
      <c r="H35" s="8"/>
      <c r="I35" s="8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5"/>
      <c r="C36" s="5"/>
      <c r="D36" s="1"/>
      <c r="E36" s="9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5"/>
      <c r="C37" s="5"/>
      <c r="D37" s="1"/>
      <c r="E37" s="9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5"/>
      <c r="C38" s="5"/>
      <c r="D38" s="1"/>
      <c r="E38" s="9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5"/>
      <c r="C39" s="5"/>
      <c r="D39" s="1"/>
      <c r="E39" s="9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"/>
      <c r="C43" s="11"/>
      <c r="D43" s="12"/>
      <c r="E43" s="12"/>
      <c r="F43" s="12"/>
      <c r="G43" s="12"/>
      <c r="H43" s="12"/>
      <c r="I43" s="12"/>
      <c r="J43" s="12"/>
      <c r="K43" s="13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6:I10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47.0"/>
    <col customWidth="1" min="4" max="4" width="74.14"/>
    <col customWidth="1" min="5" max="5" width="35.57"/>
    <col customWidth="1" min="6" max="6" width="24.71"/>
    <col customWidth="1" min="7" max="7" width="24.57"/>
    <col customWidth="1" min="8" max="8" width="24.14"/>
    <col customWidth="1" min="9" max="9" width="132.43"/>
    <col customWidth="1" min="10" max="10" width="22.43"/>
  </cols>
  <sheetData>
    <row r="1" ht="14.25" customHeight="1">
      <c r="A1" s="14" t="s">
        <v>2</v>
      </c>
      <c r="B1" s="15" t="s">
        <v>3</v>
      </c>
      <c r="C1" s="15" t="s">
        <v>4</v>
      </c>
      <c r="D1" s="15" t="s">
        <v>5</v>
      </c>
      <c r="E1" s="15" t="s">
        <v>6</v>
      </c>
      <c r="F1" s="16" t="s">
        <v>7</v>
      </c>
      <c r="G1" s="16" t="s">
        <v>8</v>
      </c>
      <c r="H1" s="17" t="s">
        <v>9</v>
      </c>
      <c r="I1" s="17" t="s">
        <v>10</v>
      </c>
      <c r="J1" s="18" t="s">
        <v>11</v>
      </c>
      <c r="K1" s="19" t="s">
        <v>12</v>
      </c>
      <c r="L1" s="20"/>
    </row>
    <row r="2" ht="14.25" customHeight="1">
      <c r="A2" s="21" t="s">
        <v>13</v>
      </c>
      <c r="B2" s="22" t="s">
        <v>14</v>
      </c>
      <c r="C2" s="23" t="s">
        <v>15</v>
      </c>
      <c r="D2" s="24" t="s">
        <v>16</v>
      </c>
      <c r="E2" s="24" t="s">
        <v>17</v>
      </c>
      <c r="F2" s="23" t="s">
        <v>18</v>
      </c>
      <c r="G2" s="25" t="s">
        <v>19</v>
      </c>
      <c r="H2" s="25" t="s">
        <v>20</v>
      </c>
      <c r="I2" s="26" t="s">
        <v>21</v>
      </c>
      <c r="J2" s="27" t="s">
        <v>22</v>
      </c>
      <c r="K2" s="28" t="s">
        <v>23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4.25" customHeight="1">
      <c r="A3" s="21" t="s">
        <v>24</v>
      </c>
      <c r="B3" s="30" t="s">
        <v>25</v>
      </c>
      <c r="C3" s="25" t="s">
        <v>15</v>
      </c>
      <c r="D3" s="24" t="s">
        <v>26</v>
      </c>
      <c r="E3" s="24" t="s">
        <v>27</v>
      </c>
      <c r="F3" s="25" t="s">
        <v>28</v>
      </c>
      <c r="G3" s="25" t="s">
        <v>19</v>
      </c>
      <c r="H3" s="25" t="s">
        <v>20</v>
      </c>
      <c r="I3" s="26" t="s">
        <v>29</v>
      </c>
      <c r="J3" s="31" t="s">
        <v>30</v>
      </c>
      <c r="K3" s="28" t="s">
        <v>23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4.25" customHeight="1">
      <c r="A4" s="21" t="s">
        <v>31</v>
      </c>
      <c r="B4" s="32" t="s">
        <v>32</v>
      </c>
      <c r="C4" s="25" t="s">
        <v>15</v>
      </c>
      <c r="D4" s="24" t="s">
        <v>33</v>
      </c>
      <c r="E4" s="24" t="s">
        <v>34</v>
      </c>
      <c r="F4" s="25" t="s">
        <v>28</v>
      </c>
      <c r="G4" s="25" t="s">
        <v>19</v>
      </c>
      <c r="H4" s="23" t="s">
        <v>20</v>
      </c>
      <c r="I4" s="26" t="s">
        <v>35</v>
      </c>
      <c r="J4" s="27" t="s">
        <v>22</v>
      </c>
      <c r="K4" s="28" t="s">
        <v>23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4.25" customHeight="1">
      <c r="A5" s="21" t="s">
        <v>36</v>
      </c>
      <c r="B5" s="32" t="s">
        <v>37</v>
      </c>
      <c r="C5" s="25" t="s">
        <v>15</v>
      </c>
      <c r="D5" s="24" t="s">
        <v>38</v>
      </c>
      <c r="E5" s="24" t="s">
        <v>39</v>
      </c>
      <c r="F5" s="25" t="s">
        <v>40</v>
      </c>
      <c r="G5" s="25" t="s">
        <v>19</v>
      </c>
      <c r="H5" s="23" t="s">
        <v>20</v>
      </c>
      <c r="I5" s="26" t="s">
        <v>41</v>
      </c>
      <c r="J5" s="31" t="s">
        <v>30</v>
      </c>
      <c r="K5" s="28" t="s">
        <v>23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4.25" customHeight="1">
      <c r="A6" s="21" t="s">
        <v>42</v>
      </c>
      <c r="B6" s="32" t="s">
        <v>43</v>
      </c>
      <c r="C6" s="25" t="s">
        <v>15</v>
      </c>
      <c r="D6" s="33" t="s">
        <v>44</v>
      </c>
      <c r="E6" s="33" t="s">
        <v>45</v>
      </c>
      <c r="F6" s="25" t="s">
        <v>40</v>
      </c>
      <c r="G6" s="25" t="s">
        <v>19</v>
      </c>
      <c r="H6" s="23" t="s">
        <v>20</v>
      </c>
      <c r="I6" s="26" t="s">
        <v>46</v>
      </c>
      <c r="J6" s="27" t="s">
        <v>22</v>
      </c>
      <c r="K6" s="28" t="s">
        <v>23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4.25" customHeight="1">
      <c r="A7" s="21" t="s">
        <v>47</v>
      </c>
      <c r="B7" s="32" t="s">
        <v>48</v>
      </c>
      <c r="C7" s="25" t="s">
        <v>15</v>
      </c>
      <c r="D7" s="33" t="s">
        <v>49</v>
      </c>
      <c r="E7" s="33" t="s">
        <v>50</v>
      </c>
      <c r="F7" s="25" t="s">
        <v>51</v>
      </c>
      <c r="G7" s="25" t="s">
        <v>19</v>
      </c>
      <c r="H7" s="23" t="s">
        <v>20</v>
      </c>
      <c r="I7" s="26" t="s">
        <v>52</v>
      </c>
      <c r="J7" s="31" t="s">
        <v>30</v>
      </c>
      <c r="K7" s="28" t="s">
        <v>23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4.25" customHeight="1">
      <c r="A8" s="21" t="s">
        <v>53</v>
      </c>
      <c r="B8" s="32" t="s">
        <v>54</v>
      </c>
      <c r="C8" s="25" t="s">
        <v>15</v>
      </c>
      <c r="D8" s="24" t="s">
        <v>55</v>
      </c>
      <c r="E8" s="24" t="s">
        <v>56</v>
      </c>
      <c r="F8" s="25" t="s">
        <v>51</v>
      </c>
      <c r="G8" s="25" t="s">
        <v>19</v>
      </c>
      <c r="H8" s="23" t="s">
        <v>20</v>
      </c>
      <c r="I8" s="26" t="s">
        <v>57</v>
      </c>
      <c r="J8" s="27" t="s">
        <v>22</v>
      </c>
      <c r="K8" s="28" t="s">
        <v>23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4.25" customHeight="1">
      <c r="A9" s="21" t="s">
        <v>58</v>
      </c>
      <c r="B9" s="32" t="s">
        <v>59</v>
      </c>
      <c r="C9" s="25" t="s">
        <v>15</v>
      </c>
      <c r="D9" s="24" t="s">
        <v>60</v>
      </c>
      <c r="E9" s="24" t="s">
        <v>61</v>
      </c>
      <c r="F9" s="25" t="s">
        <v>62</v>
      </c>
      <c r="G9" s="25" t="s">
        <v>19</v>
      </c>
      <c r="H9" s="23" t="s">
        <v>20</v>
      </c>
      <c r="I9" s="26" t="s">
        <v>63</v>
      </c>
      <c r="J9" s="31" t="s">
        <v>30</v>
      </c>
      <c r="K9" s="28" t="s">
        <v>23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1" t="s">
        <v>64</v>
      </c>
      <c r="B10" s="32" t="s">
        <v>65</v>
      </c>
      <c r="C10" s="25" t="s">
        <v>15</v>
      </c>
      <c r="D10" s="24" t="s">
        <v>66</v>
      </c>
      <c r="E10" s="24" t="s">
        <v>67</v>
      </c>
      <c r="F10" s="25" t="s">
        <v>68</v>
      </c>
      <c r="G10" s="25" t="s">
        <v>19</v>
      </c>
      <c r="H10" s="23" t="s">
        <v>20</v>
      </c>
      <c r="I10" s="26" t="s">
        <v>69</v>
      </c>
      <c r="J10" s="27" t="s">
        <v>22</v>
      </c>
      <c r="K10" s="28" t="s">
        <v>23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dataValidations>
    <dataValidation type="list" allowBlank="1" showErrorMessage="1" sqref="K2:K10">
      <formula1>'Datos del plan'!$C$1:$C$3</formula1>
    </dataValidation>
    <dataValidation type="list" allowBlank="1" showErrorMessage="1" sqref="C2:C10">
      <formula1>'Datos del plan'!$A$1:$A$8</formula1>
    </dataValidation>
    <dataValidation type="list" allowBlank="1" showErrorMessage="1" sqref="H2:H10">
      <formula1>'Datos del plan'!$D$1:$D$2</formula1>
    </dataValidation>
    <dataValidation type="list" allowBlank="1" showErrorMessage="1" sqref="G2:G10">
      <formula1>'Datos del plan'!$B$1:$B$5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4.86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ht="14.25" customHeight="1">
      <c r="A2" s="1"/>
      <c r="B2" s="34"/>
      <c r="C2" s="34"/>
      <c r="D2" s="3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ht="14.25" customHeight="1">
      <c r="A3" s="1"/>
      <c r="B3" s="34"/>
      <c r="C3" s="34"/>
      <c r="D3" s="3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ht="14.25" customHeight="1">
      <c r="A4" s="1"/>
      <c r="B4" s="34"/>
      <c r="C4" s="34"/>
      <c r="D4" s="3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5"/>
      <c r="Q5" s="1"/>
      <c r="R5" s="1"/>
      <c r="Z5" s="1"/>
    </row>
    <row r="6" ht="14.25" customHeight="1">
      <c r="A6" s="1"/>
      <c r="B6" s="36" t="s">
        <v>70</v>
      </c>
      <c r="C6" s="37" t="s">
        <v>19</v>
      </c>
      <c r="D6" s="38">
        <f>COUNTIF('Identificación Casos'!G2:G10,Control!C6)</f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/>
      <c r="Q6" s="1"/>
      <c r="R6" s="1"/>
      <c r="Z6" s="1"/>
    </row>
    <row r="7" ht="14.25" customHeight="1">
      <c r="A7" s="1"/>
      <c r="B7" s="39"/>
      <c r="C7" s="37" t="s">
        <v>71</v>
      </c>
      <c r="D7" s="38">
        <f>COUNTIF('Identificación Casos'!G2:G10,Control!C7)</f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ht="14.25" customHeight="1">
      <c r="A8" s="1"/>
      <c r="B8" s="39"/>
      <c r="C8" s="37" t="s">
        <v>72</v>
      </c>
      <c r="D8" s="38">
        <f>COUNTIF('Identificación Casos'!$G$2:G11,C8)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ht="14.25" customHeight="1">
      <c r="A9" s="1"/>
      <c r="B9" s="39"/>
      <c r="C9" s="37" t="s">
        <v>73</v>
      </c>
      <c r="D9" s="38">
        <f>COUNTIF('Identificación Casos'!$G$2:G12,C9)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35"/>
      <c r="P9" s="1"/>
      <c r="Q9" s="1"/>
      <c r="R9" s="1"/>
      <c r="Z9" s="1"/>
    </row>
    <row r="10" ht="14.25" customHeight="1">
      <c r="A10" s="1"/>
      <c r="B10" s="40"/>
      <c r="C10" s="37" t="s">
        <v>74</v>
      </c>
      <c r="D10" s="38">
        <f>COUNTIF('Identificación Casos'!$G$2:G13,C10)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ht="14.25" customHeight="1">
      <c r="A11" s="1"/>
      <c r="B11" s="41"/>
      <c r="C11" s="41"/>
      <c r="D11" s="4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ht="14.25" customHeight="1">
      <c r="A12" s="1"/>
      <c r="B12" s="41"/>
      <c r="C12" s="41"/>
      <c r="D12" s="4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ht="14.25" customHeight="1">
      <c r="A13" s="1"/>
      <c r="B13" s="43" t="s">
        <v>75</v>
      </c>
      <c r="C13" s="44"/>
      <c r="D13" s="38">
        <f>COUNTIF('Identificación Casos'!A2:A10,"*")</f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ht="14.25" customHeight="1">
      <c r="A14" s="1"/>
      <c r="B14" s="41"/>
      <c r="C14" s="41"/>
      <c r="D14" s="4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ht="14.25" customHeight="1">
      <c r="A15" s="1"/>
      <c r="B15" s="41"/>
      <c r="C15" s="41"/>
      <c r="D15" s="4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ht="14.25" customHeight="1">
      <c r="A16" s="1"/>
      <c r="B16" s="45" t="s">
        <v>76</v>
      </c>
      <c r="C16" s="46"/>
      <c r="D16" s="47">
        <f>SUM(D6+D7+D9+D10)/D13</f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ht="14.25" customHeight="1">
      <c r="A17" s="1"/>
      <c r="B17" s="48"/>
      <c r="C17" s="49"/>
      <c r="D17" s="4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0"/>
      <c r="N20" s="8"/>
      <c r="O20" s="1"/>
      <c r="P20" s="1"/>
      <c r="Q20" s="1"/>
      <c r="R20" s="1"/>
      <c r="Z20" s="1"/>
    </row>
    <row r="21" ht="14.25" customHeight="1">
      <c r="A21" s="1"/>
      <c r="B21" s="35"/>
      <c r="C21" s="1"/>
      <c r="D21" s="1"/>
      <c r="E21" s="1"/>
      <c r="F21" s="1"/>
      <c r="G21" s="1"/>
      <c r="H21" s="1"/>
      <c r="I21" s="1"/>
      <c r="J21" s="1"/>
      <c r="K21" s="1"/>
      <c r="L21" s="1"/>
      <c r="M21" s="9"/>
      <c r="O21" s="1"/>
      <c r="P21" s="1"/>
      <c r="Q21" s="1"/>
      <c r="R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ht="14.25" customHeight="1">
      <c r="A24" s="1"/>
      <c r="D24" s="1"/>
      <c r="E24" s="1"/>
      <c r="F24" s="1"/>
      <c r="G24" s="1"/>
      <c r="H24" s="1"/>
      <c r="I24" s="1"/>
      <c r="J24" s="1"/>
      <c r="R24" s="1"/>
    </row>
    <row r="25" ht="14.25" customHeight="1">
      <c r="A25" s="1"/>
      <c r="D25" s="1"/>
      <c r="E25" s="1"/>
      <c r="F25" s="1"/>
      <c r="G25" s="1"/>
      <c r="H25" s="1"/>
      <c r="I25" s="1"/>
      <c r="J25" s="1"/>
      <c r="R25" s="1"/>
    </row>
    <row r="26" ht="14.25" customHeight="1">
      <c r="A26" s="1"/>
      <c r="D26" s="1"/>
      <c r="E26" s="1"/>
      <c r="F26" s="1"/>
      <c r="G26" s="1"/>
      <c r="H26" s="1"/>
      <c r="I26" s="1"/>
      <c r="J26" s="1"/>
      <c r="R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51" t="s">
        <v>77</v>
      </c>
      <c r="C36" s="52"/>
      <c r="D36" s="46"/>
      <c r="E36" s="53" t="s">
        <v>78</v>
      </c>
      <c r="F36" s="44"/>
      <c r="G36" s="54">
        <f>COUNTIF('Identificación Casos'!J2:J977,E36)</f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5"/>
      <c r="D37" s="56"/>
      <c r="E37" s="53" t="s">
        <v>79</v>
      </c>
      <c r="F37" s="44"/>
      <c r="G37" s="54">
        <f>COUNTIF('Identificación Casos'!J3:J978,E37)</f>
        <v>0</v>
      </c>
      <c r="H37" s="20"/>
      <c r="I37" s="20"/>
      <c r="J37" s="20"/>
      <c r="K37" s="2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55"/>
      <c r="D38" s="56"/>
      <c r="E38" s="53" t="s">
        <v>80</v>
      </c>
      <c r="F38" s="44"/>
      <c r="G38" s="54">
        <f>COUNTIF('Identificación Casos'!J4:J979,E38)</f>
        <v>0</v>
      </c>
      <c r="H38" s="20"/>
      <c r="I38" s="20"/>
      <c r="J38" s="20"/>
      <c r="K38" s="2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8"/>
      <c r="C39" s="57"/>
      <c r="D39" s="49"/>
      <c r="E39" s="53" t="s">
        <v>81</v>
      </c>
      <c r="F39" s="44"/>
      <c r="G39" s="58">
        <f>COUNTIF('Identificación Casos'!J5:J980,E39)</f>
        <v>0</v>
      </c>
      <c r="H39" s="20"/>
      <c r="I39" s="20"/>
      <c r="J39" s="20"/>
      <c r="K39" s="2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H40" s="20"/>
      <c r="I40" s="20"/>
      <c r="J40" s="20"/>
      <c r="K40" s="2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F41" s="59" t="s">
        <v>82</v>
      </c>
      <c r="G41" s="20">
        <f>SUM(G36:G39)</f>
        <v>0</v>
      </c>
      <c r="H41" s="20"/>
      <c r="I41" s="20"/>
      <c r="J41" s="2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20"/>
      <c r="I42" s="20"/>
      <c r="J42" s="2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37:F37"/>
    <mergeCell ref="E38:F38"/>
    <mergeCell ref="B6:B10"/>
    <mergeCell ref="B13:C13"/>
    <mergeCell ref="B16:C17"/>
    <mergeCell ref="D16:D17"/>
    <mergeCell ref="M20:N21"/>
    <mergeCell ref="B36:D39"/>
    <mergeCell ref="E36:F36"/>
    <mergeCell ref="E39:F3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20" t="s">
        <v>15</v>
      </c>
      <c r="B1" s="20" t="s">
        <v>19</v>
      </c>
      <c r="C1" s="59" t="s">
        <v>23</v>
      </c>
      <c r="D1" s="59" t="s">
        <v>20</v>
      </c>
    </row>
    <row r="2" ht="14.25" customHeight="1">
      <c r="A2" s="20" t="s">
        <v>83</v>
      </c>
      <c r="B2" s="20" t="s">
        <v>71</v>
      </c>
      <c r="C2" s="59" t="s">
        <v>84</v>
      </c>
      <c r="D2" s="59" t="s">
        <v>85</v>
      </c>
    </row>
    <row r="3" ht="14.25" customHeight="1">
      <c r="A3" s="20" t="s">
        <v>86</v>
      </c>
      <c r="B3" s="20" t="s">
        <v>72</v>
      </c>
      <c r="C3" s="59" t="s">
        <v>87</v>
      </c>
    </row>
    <row r="4" ht="14.25" customHeight="1">
      <c r="A4" s="20" t="s">
        <v>88</v>
      </c>
      <c r="B4" s="20" t="s">
        <v>73</v>
      </c>
    </row>
    <row r="5" ht="14.25" customHeight="1">
      <c r="A5" s="20" t="s">
        <v>89</v>
      </c>
      <c r="B5" s="20" t="s">
        <v>74</v>
      </c>
    </row>
    <row r="6" ht="14.25" customHeight="1">
      <c r="A6" s="20" t="s">
        <v>90</v>
      </c>
    </row>
    <row r="7" ht="14.25" customHeight="1">
      <c r="A7" s="20" t="s">
        <v>91</v>
      </c>
    </row>
    <row r="8" ht="14.25" customHeight="1">
      <c r="A8" s="20" t="s">
        <v>92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